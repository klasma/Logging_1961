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4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Antal fynd</t>
        </is>
      </c>
      <c r="U1" t="inlineStr">
        <is>
          <t>Artnamn</t>
        </is>
      </c>
      <c r="V1" t="inlineStr">
        <is>
          <t>Artfyndslänk</t>
        </is>
      </c>
      <c r="W1" t="inlineStr">
        <is>
          <t>Kartlänk</t>
        </is>
      </c>
      <c r="X1" t="inlineStr">
        <is>
          <t>Knärotsbuffertlänk</t>
        </is>
      </c>
      <c r="Y1" t="inlineStr">
        <is>
          <t>Klagomålslänk</t>
        </is>
      </c>
      <c r="Z1" t="inlineStr">
        <is>
          <t>Klagomålsmaillänk</t>
        </is>
      </c>
      <c r="AA1" t="inlineStr">
        <is>
          <t>Tillsynsbegäranslänk</t>
        </is>
      </c>
      <c r="AB1" t="inlineStr">
        <is>
          <t>Tillsynsbegäransmaillänk</t>
        </is>
      </c>
      <c r="AC1" t="inlineStr">
        <is>
          <t>Fågeltillsynsbegäranslänk</t>
        </is>
      </c>
    </row>
    <row r="2" ht="15" customHeight="1">
      <c r="A2" t="inlineStr">
        <is>
          <t>A 56759-2025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45978</v>
      </c>
      <c r="E2" s="1" t="n">
        <v>46218</v>
      </c>
      <c r="F2" t="inlineStr">
        <is>
          <t>VÄSTMANLANDS LÄN</t>
        </is>
      </c>
      <c r="G2" t="inlineStr">
        <is>
          <t>HALLSTAHAMMAR</t>
        </is>
      </c>
      <c r="H2" t="inlineStr">
        <is>
          <t>Allmännings- och besparingsskogar</t>
        </is>
      </c>
      <c r="I2" t="n">
        <v>9.6</v>
      </c>
      <c r="J2" t="n">
        <v>0</v>
      </c>
      <c r="K2" t="n">
        <v>2</v>
      </c>
      <c r="L2" t="n">
        <v>1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t="n">
        <v>0</v>
      </c>
      <c r="S2" t="n">
        <v>3</v>
      </c>
      <c r="T2" t="n">
        <v>6</v>
      </c>
      <c r="U2" s="2" t="inlineStr">
        <is>
          <t>Dofttaggsvamp
Brandticka
Trådticka</t>
        </is>
      </c>
      <c r="V2">
        <f>HYPERLINK("https://klasma.github.io/Logging_1961/artfynd/A 56759-2025 artfynd.xlsx", "A 56759-2025")</f>
        <v/>
      </c>
      <c r="W2">
        <f>HYPERLINK("https://klasma.github.io/Logging_1961/kartor/A 56759-2025 karta.png", "A 56759-2025")</f>
        <v/>
      </c>
      <c r="Y2">
        <f>HYPERLINK("https://klasma.github.io/Logging_1961/klagomål/A 56759-2025 FSC-klagomål.docx", "A 56759-2025")</f>
        <v/>
      </c>
      <c r="Z2">
        <f>HYPERLINK("https://klasma.github.io/Logging_1961/klagomålsmail/A 56759-2025 FSC-klagomål mail.docx", "A 56759-2025")</f>
        <v/>
      </c>
      <c r="AA2">
        <f>HYPERLINK("https://klasma.github.io/Logging_1961/tillsyn/A 56759-2025 tillsynsbegäran.docx", "A 56759-2025")</f>
        <v/>
      </c>
      <c r="AB2">
        <f>HYPERLINK("https://klasma.github.io/Logging_1961/tillsynsmail/A 56759-2025 tillsynsbegäran mail.docx", "A 56759-2025")</f>
        <v/>
      </c>
    </row>
    <row r="3" ht="15" customHeight="1">
      <c r="A3" t="inlineStr">
        <is>
          <t>A 11901-2022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44635</v>
      </c>
      <c r="E3" s="1" t="n">
        <v>46218</v>
      </c>
      <c r="F3" t="inlineStr">
        <is>
          <t>VÄSTMANLANDS LÄN</t>
        </is>
      </c>
      <c r="G3" t="inlineStr">
        <is>
          <t>HALLSTAHAMMAR</t>
        </is>
      </c>
      <c r="H3" t="inlineStr">
        <is>
          <t>Kommuner</t>
        </is>
      </c>
      <c r="I3" t="n">
        <v>0.7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t="n">
        <v>0</v>
      </c>
      <c r="S3" t="n">
        <v>0</v>
      </c>
      <c r="T3" t="n">
        <v>0</v>
      </c>
      <c r="U3" s="2" t="inlineStr"/>
    </row>
    <row r="4" ht="15" customHeight="1">
      <c r="A4" t="inlineStr">
        <is>
          <t>A 55348-2022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44887</v>
      </c>
      <c r="E4" s="1" t="n">
        <v>46218</v>
      </c>
      <c r="F4" t="inlineStr">
        <is>
          <t>VÄSTMANLANDS LÄN</t>
        </is>
      </c>
      <c r="G4" t="inlineStr">
        <is>
          <t>HALLSTAHAMMAR</t>
        </is>
      </c>
      <c r="I4" t="n">
        <v>0.5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0</v>
      </c>
      <c r="T4" t="n">
        <v>0</v>
      </c>
      <c r="U4" s="2" t="inlineStr"/>
    </row>
    <row r="5" ht="15" customHeight="1">
      <c r="A5" t="inlineStr">
        <is>
          <t>A 68619-2021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44502</v>
      </c>
      <c r="E5" s="1" t="n">
        <v>46218</v>
      </c>
      <c r="F5" t="inlineStr">
        <is>
          <t>VÄSTMANLANDS LÄN</t>
        </is>
      </c>
      <c r="G5" t="inlineStr">
        <is>
          <t>HALLSTAHAMMAR</t>
        </is>
      </c>
      <c r="I5" t="n">
        <v>13.5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0</v>
      </c>
      <c r="T5" t="n">
        <v>0</v>
      </c>
      <c r="U5" s="2" t="inlineStr"/>
    </row>
    <row r="6" ht="15" customHeight="1">
      <c r="A6" t="inlineStr">
        <is>
          <t>A 68624-2021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44502</v>
      </c>
      <c r="E6" s="1" t="n">
        <v>46218</v>
      </c>
      <c r="F6" t="inlineStr">
        <is>
          <t>VÄSTMANLANDS LÄN</t>
        </is>
      </c>
      <c r="G6" t="inlineStr">
        <is>
          <t>HALLSTAHAMMAR</t>
        </is>
      </c>
      <c r="I6" t="n">
        <v>5.5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0</v>
      </c>
      <c r="T6" t="n">
        <v>0</v>
      </c>
      <c r="U6" s="2" t="inlineStr"/>
    </row>
    <row r="7" ht="15" customHeight="1">
      <c r="A7" t="inlineStr">
        <is>
          <t>A 26702-2022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44739</v>
      </c>
      <c r="E7" s="1" t="n">
        <v>46218</v>
      </c>
      <c r="F7" t="inlineStr">
        <is>
          <t>VÄSTMANLANDS LÄN</t>
        </is>
      </c>
      <c r="G7" t="inlineStr">
        <is>
          <t>HALLSTAHAMMAR</t>
        </is>
      </c>
      <c r="I7" t="n">
        <v>3.8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0</v>
      </c>
      <c r="T7" t="n">
        <v>0</v>
      </c>
      <c r="U7" s="2" t="inlineStr"/>
    </row>
    <row r="8" ht="15" customHeight="1">
      <c r="A8" t="inlineStr">
        <is>
          <t>A 68621-2021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44502</v>
      </c>
      <c r="E8" s="1" t="n">
        <v>46218</v>
      </c>
      <c r="F8" t="inlineStr">
        <is>
          <t>VÄSTMANLANDS LÄN</t>
        </is>
      </c>
      <c r="G8" t="inlineStr">
        <is>
          <t>HALLSTAHAMMAR</t>
        </is>
      </c>
      <c r="I8" t="n">
        <v>3.8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s="2" t="inlineStr"/>
    </row>
    <row r="9" ht="15" customHeight="1">
      <c r="A9" t="inlineStr">
        <is>
          <t>A 44069-2021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44434</v>
      </c>
      <c r="E9" s="1" t="n">
        <v>46218</v>
      </c>
      <c r="F9" t="inlineStr">
        <is>
          <t>VÄSTMANLANDS LÄN</t>
        </is>
      </c>
      <c r="G9" t="inlineStr">
        <is>
          <t>HALLSTAHAMMAR</t>
        </is>
      </c>
      <c r="I9" t="n">
        <v>1.5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s="2" t="inlineStr"/>
    </row>
    <row r="10" ht="15" customHeight="1">
      <c r="A10" t="inlineStr">
        <is>
          <t>A 21264-2022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44705</v>
      </c>
      <c r="E10" s="1" t="n">
        <v>46218</v>
      </c>
      <c r="F10" t="inlineStr">
        <is>
          <t>VÄSTMANLANDS LÄN</t>
        </is>
      </c>
      <c r="G10" t="inlineStr">
        <is>
          <t>HALLSTAHAMMAR</t>
        </is>
      </c>
      <c r="H10" t="inlineStr">
        <is>
          <t>Allmännings- och besparingsskogar</t>
        </is>
      </c>
      <c r="I10" t="n">
        <v>2.4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s="2" t="inlineStr"/>
    </row>
    <row r="11" ht="15" customHeight="1">
      <c r="A11" t="inlineStr">
        <is>
          <t>A 21972-2023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45068</v>
      </c>
      <c r="E11" s="1" t="n">
        <v>46218</v>
      </c>
      <c r="F11" t="inlineStr">
        <is>
          <t>VÄSTMANLANDS LÄN</t>
        </is>
      </c>
      <c r="G11" t="inlineStr">
        <is>
          <t>HALLSTAHAMMAR</t>
        </is>
      </c>
      <c r="I11" t="n">
        <v>1.5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s="2" t="inlineStr"/>
    </row>
    <row r="12" ht="15" customHeight="1">
      <c r="A12" t="inlineStr">
        <is>
          <t>A 42991-2025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45909</v>
      </c>
      <c r="E12" s="1" t="n">
        <v>46218</v>
      </c>
      <c r="F12" t="inlineStr">
        <is>
          <t>VÄSTMANLANDS LÄN</t>
        </is>
      </c>
      <c r="G12" t="inlineStr">
        <is>
          <t>HALLSTAHAMMAR</t>
        </is>
      </c>
      <c r="I12" t="n">
        <v>7.2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s="2" t="inlineStr"/>
    </row>
    <row r="13" ht="15" customHeight="1">
      <c r="A13" t="inlineStr">
        <is>
          <t>A 43448-2025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45911</v>
      </c>
      <c r="E13" s="1" t="n">
        <v>46218</v>
      </c>
      <c r="F13" t="inlineStr">
        <is>
          <t>VÄSTMANLANDS LÄN</t>
        </is>
      </c>
      <c r="G13" t="inlineStr">
        <is>
          <t>HALLSTAHAMMAR</t>
        </is>
      </c>
      <c r="I13" t="n">
        <v>1.2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s="2" t="inlineStr"/>
    </row>
    <row r="14" ht="15" customHeight="1">
      <c r="A14" t="inlineStr">
        <is>
          <t>A 44192-2025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45915</v>
      </c>
      <c r="E14" s="1" t="n">
        <v>46218</v>
      </c>
      <c r="F14" t="inlineStr">
        <is>
          <t>VÄSTMANLANDS LÄN</t>
        </is>
      </c>
      <c r="G14" t="inlineStr">
        <is>
          <t>HALLSTAHAMMAR</t>
        </is>
      </c>
      <c r="I14" t="n">
        <v>0.8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s="2" t="inlineStr"/>
    </row>
    <row r="15" ht="15" customHeight="1">
      <c r="A15" t="inlineStr">
        <is>
          <t>A 14149-2022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44651</v>
      </c>
      <c r="E15" s="1" t="n">
        <v>46218</v>
      </c>
      <c r="F15" t="inlineStr">
        <is>
          <t>VÄSTMANLANDS LÄN</t>
        </is>
      </c>
      <c r="G15" t="inlineStr">
        <is>
          <t>HALLSTAHAMMAR</t>
        </is>
      </c>
      <c r="H15" t="inlineStr">
        <is>
          <t>Allmännings- och besparingsskogar</t>
        </is>
      </c>
      <c r="I15" t="n">
        <v>3.8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s="2" t="inlineStr"/>
    </row>
    <row r="16" ht="15" customHeight="1">
      <c r="A16" t="inlineStr">
        <is>
          <t>A 10263-2024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45365</v>
      </c>
      <c r="E16" s="1" t="n">
        <v>46218</v>
      </c>
      <c r="F16" t="inlineStr">
        <is>
          <t>VÄSTMANLANDS LÄN</t>
        </is>
      </c>
      <c r="G16" t="inlineStr">
        <is>
          <t>HALLSTAHAMMAR</t>
        </is>
      </c>
      <c r="H16" t="inlineStr">
        <is>
          <t>Kyrkan</t>
        </is>
      </c>
      <c r="I16" t="n">
        <v>1.4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s="2" t="inlineStr"/>
    </row>
    <row r="17" ht="15" customHeight="1">
      <c r="A17" t="inlineStr">
        <is>
          <t>A 53343-2024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45614</v>
      </c>
      <c r="E17" s="1" t="n">
        <v>46218</v>
      </c>
      <c r="F17" t="inlineStr">
        <is>
          <t>VÄSTMANLANDS LÄN</t>
        </is>
      </c>
      <c r="G17" t="inlineStr">
        <is>
          <t>HALLSTAHAMMAR</t>
        </is>
      </c>
      <c r="I17" t="n">
        <v>0.9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s="2" t="inlineStr"/>
    </row>
    <row r="18" ht="15" customHeight="1">
      <c r="A18" t="inlineStr">
        <is>
          <t>A 8848-2025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45713</v>
      </c>
      <c r="E18" s="1" t="n">
        <v>46218</v>
      </c>
      <c r="F18" t="inlineStr">
        <is>
          <t>VÄSTMANLANDS LÄN</t>
        </is>
      </c>
      <c r="G18" t="inlineStr">
        <is>
          <t>HALLSTAHAMMAR</t>
        </is>
      </c>
      <c r="I18" t="n">
        <v>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s="2" t="inlineStr"/>
    </row>
    <row r="19" ht="15" customHeight="1">
      <c r="A19" t="inlineStr">
        <is>
          <t>A 55562-2022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44888</v>
      </c>
      <c r="E19" s="1" t="n">
        <v>46218</v>
      </c>
      <c r="F19" t="inlineStr">
        <is>
          <t>VÄSTMANLANDS LÄN</t>
        </is>
      </c>
      <c r="G19" t="inlineStr">
        <is>
          <t>HALLSTAHAMMAR</t>
        </is>
      </c>
      <c r="I19" t="n">
        <v>0.8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s="2" t="inlineStr"/>
    </row>
    <row r="20" ht="15" customHeight="1">
      <c r="A20" t="inlineStr">
        <is>
          <t>A 62831-2023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45270</v>
      </c>
      <c r="E20" s="1" t="n">
        <v>46218</v>
      </c>
      <c r="F20" t="inlineStr">
        <is>
          <t>VÄSTMANLANDS LÄN</t>
        </is>
      </c>
      <c r="G20" t="inlineStr">
        <is>
          <t>HALLSTAHAMMAR</t>
        </is>
      </c>
      <c r="I20" t="n">
        <v>1.1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s="2" t="inlineStr"/>
    </row>
    <row r="21" ht="15" customHeight="1">
      <c r="A21" t="inlineStr">
        <is>
          <t>A 8436-2023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44977</v>
      </c>
      <c r="E21" s="1" t="n">
        <v>46218</v>
      </c>
      <c r="F21" t="inlineStr">
        <is>
          <t>VÄSTMANLANDS LÄN</t>
        </is>
      </c>
      <c r="G21" t="inlineStr">
        <is>
          <t>HALLSTAHAMMAR</t>
        </is>
      </c>
      <c r="H21" t="inlineStr">
        <is>
          <t>Kyrkan</t>
        </is>
      </c>
      <c r="I21" t="n">
        <v>4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s="2" t="inlineStr"/>
    </row>
    <row r="22" ht="15" customHeight="1">
      <c r="A22" t="inlineStr">
        <is>
          <t>A 7245-2025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45702</v>
      </c>
      <c r="E22" s="1" t="n">
        <v>46218</v>
      </c>
      <c r="F22" t="inlineStr">
        <is>
          <t>VÄSTMANLANDS LÄN</t>
        </is>
      </c>
      <c r="G22" t="inlineStr">
        <is>
          <t>HALLSTAHAMMAR</t>
        </is>
      </c>
      <c r="I22" t="n">
        <v>4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s="2" t="inlineStr"/>
    </row>
    <row r="23" ht="15" customHeight="1">
      <c r="A23" t="inlineStr">
        <is>
          <t>A 12077-2022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44636</v>
      </c>
      <c r="E23" s="1" t="n">
        <v>46218</v>
      </c>
      <c r="F23" t="inlineStr">
        <is>
          <t>VÄSTMANLANDS LÄN</t>
        </is>
      </c>
      <c r="G23" t="inlineStr">
        <is>
          <t>HALLSTAHAMMAR</t>
        </is>
      </c>
      <c r="I23" t="n">
        <v>2.1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s="2" t="inlineStr"/>
    </row>
    <row r="24" ht="15" customHeight="1">
      <c r="A24" t="inlineStr">
        <is>
          <t>A 34984-2024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45527</v>
      </c>
      <c r="E24" s="1" t="n">
        <v>46218</v>
      </c>
      <c r="F24" t="inlineStr">
        <is>
          <t>VÄSTMANLANDS LÄN</t>
        </is>
      </c>
      <c r="G24" t="inlineStr">
        <is>
          <t>HALLSTAHAMMAR</t>
        </is>
      </c>
      <c r="I24" t="n">
        <v>4.1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s="2" t="inlineStr"/>
    </row>
    <row r="25" ht="15" customHeight="1">
      <c r="A25" t="inlineStr">
        <is>
          <t>A 37407-2023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45156</v>
      </c>
      <c r="E25" s="1" t="n">
        <v>46218</v>
      </c>
      <c r="F25" t="inlineStr">
        <is>
          <t>VÄSTMANLANDS LÄN</t>
        </is>
      </c>
      <c r="G25" t="inlineStr">
        <is>
          <t>HALLSTAHAMMAR</t>
        </is>
      </c>
      <c r="I25" t="n">
        <v>3.3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s="2" t="inlineStr"/>
    </row>
    <row r="26" ht="15" customHeight="1">
      <c r="A26" t="inlineStr">
        <is>
          <t>A 58109-2025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45982</v>
      </c>
      <c r="E26" s="1" t="n">
        <v>46218</v>
      </c>
      <c r="F26" t="inlineStr">
        <is>
          <t>VÄSTMANLANDS LÄN</t>
        </is>
      </c>
      <c r="G26" t="inlineStr">
        <is>
          <t>HALLSTAHAMMAR</t>
        </is>
      </c>
      <c r="I26" t="n">
        <v>2.5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s="2" t="inlineStr"/>
    </row>
    <row r="27" ht="15" customHeight="1">
      <c r="A27" t="inlineStr">
        <is>
          <t>A 58111-2025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45982</v>
      </c>
      <c r="E27" s="1" t="n">
        <v>46218</v>
      </c>
      <c r="F27" t="inlineStr">
        <is>
          <t>VÄSTMANLANDS LÄN</t>
        </is>
      </c>
      <c r="G27" t="inlineStr">
        <is>
          <t>HALLSTAHAMMAR</t>
        </is>
      </c>
      <c r="I27" t="n">
        <v>0.6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s="2" t="inlineStr"/>
    </row>
    <row r="28" ht="15" customHeight="1">
      <c r="A28" t="inlineStr">
        <is>
          <t>A 58125-2025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45982</v>
      </c>
      <c r="E28" s="1" t="n">
        <v>46218</v>
      </c>
      <c r="F28" t="inlineStr">
        <is>
          <t>VÄSTMANLANDS LÄN</t>
        </is>
      </c>
      <c r="G28" t="inlineStr">
        <is>
          <t>HALLSTAHAMMAR</t>
        </is>
      </c>
      <c r="I28" t="n">
        <v>0.8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s="2" t="inlineStr"/>
    </row>
    <row r="29" ht="15" customHeight="1">
      <c r="A29" t="inlineStr">
        <is>
          <t>A 26060-2026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46181</v>
      </c>
      <c r="E29" s="1" t="n">
        <v>46218</v>
      </c>
      <c r="F29" t="inlineStr">
        <is>
          <t>VÄSTMANLANDS LÄN</t>
        </is>
      </c>
      <c r="G29" t="inlineStr">
        <is>
          <t>HALLSTAHAMMAR</t>
        </is>
      </c>
      <c r="I29" t="n">
        <v>3.6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s="2" t="inlineStr"/>
    </row>
    <row r="30" ht="15" customHeight="1">
      <c r="A30" t="inlineStr">
        <is>
          <t>A 33799-2025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45842</v>
      </c>
      <c r="E30" s="1" t="n">
        <v>46218</v>
      </c>
      <c r="F30" t="inlineStr">
        <is>
          <t>VÄSTMANLANDS LÄN</t>
        </is>
      </c>
      <c r="G30" t="inlineStr">
        <is>
          <t>HALLSTAHAMMAR</t>
        </is>
      </c>
      <c r="H30" t="inlineStr">
        <is>
          <t>Allmännings- och besparingsskogar</t>
        </is>
      </c>
      <c r="I30" t="n">
        <v>2.5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s="2" t="inlineStr"/>
    </row>
    <row r="31" ht="15" customHeight="1">
      <c r="A31" t="inlineStr">
        <is>
          <t>A 16762-2022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44673</v>
      </c>
      <c r="E31" s="1" t="n">
        <v>46218</v>
      </c>
      <c r="F31" t="inlineStr">
        <is>
          <t>VÄSTMANLANDS LÄN</t>
        </is>
      </c>
      <c r="G31" t="inlineStr">
        <is>
          <t>HALLSTAHAMMAR</t>
        </is>
      </c>
      <c r="I31" t="n">
        <v>4.2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s="2" t="inlineStr"/>
    </row>
    <row r="32" ht="15" customHeight="1">
      <c r="A32" t="inlineStr">
        <is>
          <t>A 37072-2025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45875</v>
      </c>
      <c r="E32" s="1" t="n">
        <v>46218</v>
      </c>
      <c r="F32" t="inlineStr">
        <is>
          <t>VÄSTMANLANDS LÄN</t>
        </is>
      </c>
      <c r="G32" t="inlineStr">
        <is>
          <t>HALLSTAHAMMAR</t>
        </is>
      </c>
      <c r="I32" t="n">
        <v>1.5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s="2" t="inlineStr"/>
    </row>
    <row r="33" ht="15" customHeight="1">
      <c r="A33" t="inlineStr">
        <is>
          <t>A 37076-2025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45875</v>
      </c>
      <c r="E33" s="1" t="n">
        <v>46218</v>
      </c>
      <c r="F33" t="inlineStr">
        <is>
          <t>VÄSTMANLANDS LÄN</t>
        </is>
      </c>
      <c r="G33" t="inlineStr">
        <is>
          <t>HALLSTAHAMMAR</t>
        </is>
      </c>
      <c r="I33" t="n">
        <v>2.4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s="2" t="inlineStr"/>
    </row>
    <row r="34" ht="15" customHeight="1">
      <c r="A34" t="inlineStr">
        <is>
          <t>A 13510-2025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45736</v>
      </c>
      <c r="E34" s="1" t="n">
        <v>46218</v>
      </c>
      <c r="F34" t="inlineStr">
        <is>
          <t>VÄSTMANLANDS LÄN</t>
        </is>
      </c>
      <c r="G34" t="inlineStr">
        <is>
          <t>HALLSTAHAMMAR</t>
        </is>
      </c>
      <c r="I34" t="n">
        <v>2.5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s="2" t="inlineStr"/>
    </row>
    <row r="35" ht="15" customHeight="1">
      <c r="A35" t="inlineStr">
        <is>
          <t>A 22072-2023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45069</v>
      </c>
      <c r="E35" s="1" t="n">
        <v>46218</v>
      </c>
      <c r="F35" t="inlineStr">
        <is>
          <t>VÄSTMANLANDS LÄN</t>
        </is>
      </c>
      <c r="G35" t="inlineStr">
        <is>
          <t>HALLSTAHAMMAR</t>
        </is>
      </c>
      <c r="I35" t="n">
        <v>3.5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s="2" t="inlineStr"/>
    </row>
    <row r="36" ht="15" customHeight="1">
      <c r="A36" t="inlineStr">
        <is>
          <t>A 30766-2022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44764</v>
      </c>
      <c r="E36" s="1" t="n">
        <v>46218</v>
      </c>
      <c r="F36" t="inlineStr">
        <is>
          <t>VÄSTMANLANDS LÄN</t>
        </is>
      </c>
      <c r="G36" t="inlineStr">
        <is>
          <t>HALLSTAHAMMAR</t>
        </is>
      </c>
      <c r="I36" t="n">
        <v>0.6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s="2" t="inlineStr"/>
    </row>
    <row r="37" ht="15" customHeight="1">
      <c r="A37" t="inlineStr">
        <is>
          <t>A 21049-2026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46146</v>
      </c>
      <c r="E37" s="1" t="n">
        <v>46218</v>
      </c>
      <c r="F37" t="inlineStr">
        <is>
          <t>VÄSTMANLANDS LÄN</t>
        </is>
      </c>
      <c r="G37" t="inlineStr">
        <is>
          <t>HALLSTAHAMMAR</t>
        </is>
      </c>
      <c r="I37" t="n">
        <v>2.9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s="2" t="inlineStr"/>
    </row>
    <row r="38" ht="15" customHeight="1">
      <c r="A38" t="inlineStr">
        <is>
          <t>A 35036-2024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45527</v>
      </c>
      <c r="E38" s="1" t="n">
        <v>46218</v>
      </c>
      <c r="F38" t="inlineStr">
        <is>
          <t>VÄSTMANLANDS LÄN</t>
        </is>
      </c>
      <c r="G38" t="inlineStr">
        <is>
          <t>HALLSTAHAMMAR</t>
        </is>
      </c>
      <c r="I38" t="n">
        <v>1.7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s="2" t="inlineStr"/>
    </row>
    <row r="39" ht="15" customHeight="1">
      <c r="A39" t="inlineStr">
        <is>
          <t>A 1622-2026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46034</v>
      </c>
      <c r="E39" s="1" t="n">
        <v>46218</v>
      </c>
      <c r="F39" t="inlineStr">
        <is>
          <t>VÄSTMANLANDS LÄN</t>
        </is>
      </c>
      <c r="G39" t="inlineStr">
        <is>
          <t>HALLSTAHAMMAR</t>
        </is>
      </c>
      <c r="I39" t="n">
        <v>1.4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s="2" t="inlineStr"/>
    </row>
    <row r="40" ht="15" customHeight="1">
      <c r="A40" t="inlineStr">
        <is>
          <t>A 1621-2026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46034</v>
      </c>
      <c r="E40" s="1" t="n">
        <v>46218</v>
      </c>
      <c r="F40" t="inlineStr">
        <is>
          <t>VÄSTMANLANDS LÄN</t>
        </is>
      </c>
      <c r="G40" t="inlineStr">
        <is>
          <t>HALLSTAHAMMAR</t>
        </is>
      </c>
      <c r="I40" t="n">
        <v>1.4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s="2" t="inlineStr"/>
    </row>
    <row r="41" ht="15" customHeight="1">
      <c r="A41" t="inlineStr">
        <is>
          <t>A 54207-2025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45964</v>
      </c>
      <c r="E41" s="1" t="n">
        <v>46218</v>
      </c>
      <c r="F41" t="inlineStr">
        <is>
          <t>VÄSTMANLANDS LÄN</t>
        </is>
      </c>
      <c r="G41" t="inlineStr">
        <is>
          <t>HALLSTAHAMMAR</t>
        </is>
      </c>
      <c r="I41" t="n">
        <v>2.1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s="2" t="inlineStr"/>
    </row>
    <row r="42" ht="15" customHeight="1">
      <c r="A42" t="inlineStr">
        <is>
          <t>A 10069-2026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46073</v>
      </c>
      <c r="E42" s="1" t="n">
        <v>46218</v>
      </c>
      <c r="F42" t="inlineStr">
        <is>
          <t>VÄSTMANLANDS LÄN</t>
        </is>
      </c>
      <c r="G42" t="inlineStr">
        <is>
          <t>HALLSTAHAMMAR</t>
        </is>
      </c>
      <c r="H42" t="inlineStr">
        <is>
          <t>Allmännings- och besparingsskogar</t>
        </is>
      </c>
      <c r="I42" t="n">
        <v>13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s="2" t="inlineStr"/>
    </row>
    <row r="43" ht="15" customHeight="1">
      <c r="A43" t="inlineStr">
        <is>
          <t>A 15224-2026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46105</v>
      </c>
      <c r="E43" s="1" t="n">
        <v>46218</v>
      </c>
      <c r="F43" t="inlineStr">
        <is>
          <t>VÄSTMANLANDS LÄN</t>
        </is>
      </c>
      <c r="G43" t="inlineStr">
        <is>
          <t>HALLSTAHAMMAR</t>
        </is>
      </c>
      <c r="H43" t="inlineStr">
        <is>
          <t>Allmännings- och besparingsskogar</t>
        </is>
      </c>
      <c r="I43" t="n">
        <v>1.5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s="2" t="inlineStr"/>
    </row>
    <row r="44" ht="15" customHeight="1">
      <c r="A44" t="inlineStr">
        <is>
          <t>A 15230-2026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46105</v>
      </c>
      <c r="E44" s="1" t="n">
        <v>46218</v>
      </c>
      <c r="F44" t="inlineStr">
        <is>
          <t>VÄSTMANLANDS LÄN</t>
        </is>
      </c>
      <c r="G44" t="inlineStr">
        <is>
          <t>HALLSTAHAMMAR</t>
        </is>
      </c>
      <c r="H44" t="inlineStr">
        <is>
          <t>Allmännings- och besparingsskogar</t>
        </is>
      </c>
      <c r="I44" t="n">
        <v>1.5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s="2" t="inlineStr"/>
    </row>
    <row r="45" ht="15" customHeight="1">
      <c r="A45" t="inlineStr">
        <is>
          <t>A 26059-2026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46181</v>
      </c>
      <c r="E45" s="1" t="n">
        <v>46218</v>
      </c>
      <c r="F45" t="inlineStr">
        <is>
          <t>VÄSTMANLANDS LÄN</t>
        </is>
      </c>
      <c r="G45" t="inlineStr">
        <is>
          <t>HALLSTAHAMMAR</t>
        </is>
      </c>
      <c r="I45" t="n">
        <v>4.7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s="2" t="inlineStr"/>
    </row>
    <row r="46" ht="15" customHeight="1">
      <c r="A46" t="inlineStr">
        <is>
          <t>S 697-2026</t>
        </is>
      </c>
      <c r="B46" t="inlineStr">
        <is>
          <t>samrådsanmälan</t>
        </is>
      </c>
      <c r="C46" t="inlineStr">
        <is>
          <t>Skogsgödsling</t>
        </is>
      </c>
      <c r="D46" s="1" t="n">
        <v>46091</v>
      </c>
      <c r="E46" s="1" t="n">
        <v>46218</v>
      </c>
      <c r="F46" t="inlineStr">
        <is>
          <t>VÄSTMANLANDS LÄN</t>
        </is>
      </c>
      <c r="G46" t="inlineStr">
        <is>
          <t>HALLSTAHAMMAR</t>
        </is>
      </c>
      <c r="I46" t="n">
        <v>32.5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s="2" t="inlineStr"/>
    </row>
    <row r="47">
      <c r="A47" t="inlineStr">
        <is>
          <t>S 924-2026</t>
        </is>
      </c>
      <c r="B47" t="inlineStr">
        <is>
          <t>samrådsanmälan</t>
        </is>
      </c>
      <c r="C47" t="inlineStr">
        <is>
          <t>Skogsgödsling</t>
        </is>
      </c>
      <c r="D47" s="1" t="n">
        <v>46111</v>
      </c>
      <c r="E47" s="1" t="n">
        <v>46218</v>
      </c>
      <c r="F47" t="inlineStr">
        <is>
          <t>VÄSTMANLANDS LÄN</t>
        </is>
      </c>
      <c r="G47" t="inlineStr">
        <is>
          <t>HALLSTAHAMMAR</t>
        </is>
      </c>
      <c r="H47" t="inlineStr">
        <is>
          <t>Allmännings- och besparingsskogar</t>
        </is>
      </c>
      <c r="I47" t="n">
        <v>48.8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2026-07-15T01:23:45Z</dcterms:created>
  <dcterms:modified xmlns:dcterms="http://purl.org/dc/terms/" xmlns:xsi="http://www.w3.org/2001/XMLSchema-instance" xsi:type="dcterms:W3CDTF">2026-07-15T01:23:45Z</dcterms:modified>
</cp:coreProperties>
</file>