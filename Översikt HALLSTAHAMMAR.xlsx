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56759-2025</t>
        </is>
      </c>
      <c r="B2" s="1" t="n">
        <v>45978.37284722222</v>
      </c>
      <c r="C2" s="1" t="n">
        <v>46094</v>
      </c>
      <c r="D2" t="inlineStr">
        <is>
          <t>VÄSTMANLANDS LÄN</t>
        </is>
      </c>
      <c r="E2" t="inlineStr">
        <is>
          <t>HALLSTAHAMMAR</t>
        </is>
      </c>
      <c r="F2" t="inlineStr">
        <is>
          <t>Allmännings- och besparingsskogar</t>
        </is>
      </c>
      <c r="G2" t="n">
        <v>9.6</v>
      </c>
      <c r="H2" t="n">
        <v>0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3</v>
      </c>
      <c r="R2" s="2" t="inlineStr">
        <is>
          <t>Dofttaggsvamp
Brandticka
Trådticka</t>
        </is>
      </c>
      <c r="S2">
        <f>HYPERLINK("https://klasma.github.io/Logging_1961/artfynd/A 56759-2025 artfynd.xlsx", "A 56759-2025")</f>
        <v/>
      </c>
      <c r="T2">
        <f>HYPERLINK("https://klasma.github.io/Logging_1961/kartor/A 56759-2025 karta.png", "A 56759-2025")</f>
        <v/>
      </c>
      <c r="V2">
        <f>HYPERLINK("https://klasma.github.io/Logging_1961/klagomål/A 56759-2025 FSC-klagomål.docx", "A 56759-2025")</f>
        <v/>
      </c>
      <c r="W2">
        <f>HYPERLINK("https://klasma.github.io/Logging_1961/klagomålsmail/A 56759-2025 FSC-klagomål mail.docx", "A 56759-2025")</f>
        <v/>
      </c>
      <c r="X2">
        <f>HYPERLINK("https://klasma.github.io/Logging_1961/tillsyn/A 56759-2025 tillsynsbegäran.docx", "A 56759-2025")</f>
        <v/>
      </c>
      <c r="Y2">
        <f>HYPERLINK("https://klasma.github.io/Logging_1961/tillsynsmail/A 56759-2025 tillsynsbegäran mail.docx", "A 56759-2025")</f>
        <v/>
      </c>
    </row>
    <row r="3" ht="15" customHeight="1">
      <c r="A3" t="inlineStr">
        <is>
          <t>A 11901-2022</t>
        </is>
      </c>
      <c r="B3" s="1" t="n">
        <v>44635</v>
      </c>
      <c r="C3" s="1" t="n">
        <v>46094</v>
      </c>
      <c r="D3" t="inlineStr">
        <is>
          <t>VÄSTMANLANDS LÄN</t>
        </is>
      </c>
      <c r="E3" t="inlineStr">
        <is>
          <t>HALLSTAHAMMAR</t>
        </is>
      </c>
      <c r="F3" t="inlineStr">
        <is>
          <t>Kommuner</t>
        </is>
      </c>
      <c r="G3" t="n">
        <v>0.7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55348-2022</t>
        </is>
      </c>
      <c r="B4" s="1" t="n">
        <v>44887.46917824074</v>
      </c>
      <c r="C4" s="1" t="n">
        <v>46094</v>
      </c>
      <c r="D4" t="inlineStr">
        <is>
          <t>VÄSTMANLANDS LÄN</t>
        </is>
      </c>
      <c r="E4" t="inlineStr">
        <is>
          <t>HALLSTAHAMMAR</t>
        </is>
      </c>
      <c r="G4" t="n">
        <v>0.5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68488-2021</t>
        </is>
      </c>
      <c r="B5" s="1" t="n">
        <v>44502</v>
      </c>
      <c r="C5" s="1" t="n">
        <v>46094</v>
      </c>
      <c r="D5" t="inlineStr">
        <is>
          <t>VÄSTMANLANDS LÄN</t>
        </is>
      </c>
      <c r="E5" t="inlineStr">
        <is>
          <t>HALLSTAHAMMAR</t>
        </is>
      </c>
      <c r="G5" t="n">
        <v>2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68619-2021</t>
        </is>
      </c>
      <c r="B6" s="1" t="n">
        <v>44502</v>
      </c>
      <c r="C6" s="1" t="n">
        <v>46094</v>
      </c>
      <c r="D6" t="inlineStr">
        <is>
          <t>VÄSTMANLANDS LÄN</t>
        </is>
      </c>
      <c r="E6" t="inlineStr">
        <is>
          <t>HALLSTAHAMMAR</t>
        </is>
      </c>
      <c r="G6" t="n">
        <v>13.5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29035-2021</t>
        </is>
      </c>
      <c r="B7" s="1" t="n">
        <v>44358</v>
      </c>
      <c r="C7" s="1" t="n">
        <v>46094</v>
      </c>
      <c r="D7" t="inlineStr">
        <is>
          <t>VÄSTMANLANDS LÄN</t>
        </is>
      </c>
      <c r="E7" t="inlineStr">
        <is>
          <t>HALLSTAHAMMAR</t>
        </is>
      </c>
      <c r="F7" t="inlineStr">
        <is>
          <t>Allmännings- och besparingsskogar</t>
        </is>
      </c>
      <c r="G7" t="n">
        <v>2.3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33953-2021</t>
        </is>
      </c>
      <c r="B8" s="1" t="n">
        <v>44378</v>
      </c>
      <c r="C8" s="1" t="n">
        <v>46094</v>
      </c>
      <c r="D8" t="inlineStr">
        <is>
          <t>VÄSTMANLANDS LÄN</t>
        </is>
      </c>
      <c r="E8" t="inlineStr">
        <is>
          <t>HALLSTAHAMMAR</t>
        </is>
      </c>
      <c r="G8" t="n">
        <v>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68621-2021</t>
        </is>
      </c>
      <c r="B9" s="1" t="n">
        <v>44502</v>
      </c>
      <c r="C9" s="1" t="n">
        <v>46094</v>
      </c>
      <c r="D9" t="inlineStr">
        <is>
          <t>VÄSTMANLANDS LÄN</t>
        </is>
      </c>
      <c r="E9" t="inlineStr">
        <is>
          <t>HALLSTAHAMMAR</t>
        </is>
      </c>
      <c r="G9" t="n">
        <v>3.8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44069-2021</t>
        </is>
      </c>
      <c r="B10" s="1" t="n">
        <v>44434</v>
      </c>
      <c r="C10" s="1" t="n">
        <v>46094</v>
      </c>
      <c r="D10" t="inlineStr">
        <is>
          <t>VÄSTMANLANDS LÄN</t>
        </is>
      </c>
      <c r="E10" t="inlineStr">
        <is>
          <t>HALLSTAHAMMAR</t>
        </is>
      </c>
      <c r="G10" t="n">
        <v>1.5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68624-2021</t>
        </is>
      </c>
      <c r="B11" s="1" t="n">
        <v>44502</v>
      </c>
      <c r="C11" s="1" t="n">
        <v>46094</v>
      </c>
      <c r="D11" t="inlineStr">
        <is>
          <t>VÄSTMANLANDS LÄN</t>
        </is>
      </c>
      <c r="E11" t="inlineStr">
        <is>
          <t>HALLSTAHAMMAR</t>
        </is>
      </c>
      <c r="G11" t="n">
        <v>5.5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7245-2025</t>
        </is>
      </c>
      <c r="B12" s="1" t="n">
        <v>45702</v>
      </c>
      <c r="C12" s="1" t="n">
        <v>46094</v>
      </c>
      <c r="D12" t="inlineStr">
        <is>
          <t>VÄSTMANLANDS LÄN</t>
        </is>
      </c>
      <c r="E12" t="inlineStr">
        <is>
          <t>HALLSTAHAMMAR</t>
        </is>
      </c>
      <c r="G12" t="n">
        <v>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21972-2023</t>
        </is>
      </c>
      <c r="B13" s="1" t="n">
        <v>45068.66232638889</v>
      </c>
      <c r="C13" s="1" t="n">
        <v>46094</v>
      </c>
      <c r="D13" t="inlineStr">
        <is>
          <t>VÄSTMANLANDS LÄN</t>
        </is>
      </c>
      <c r="E13" t="inlineStr">
        <is>
          <t>HALLSTAHAMMAR</t>
        </is>
      </c>
      <c r="G13" t="n">
        <v>1.5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21264-2022</t>
        </is>
      </c>
      <c r="B14" s="1" t="n">
        <v>44705</v>
      </c>
      <c r="C14" s="1" t="n">
        <v>46094</v>
      </c>
      <c r="D14" t="inlineStr">
        <is>
          <t>VÄSTMANLANDS LÄN</t>
        </is>
      </c>
      <c r="E14" t="inlineStr">
        <is>
          <t>HALLSTAHAMMAR</t>
        </is>
      </c>
      <c r="F14" t="inlineStr">
        <is>
          <t>Allmännings- och besparingsskogar</t>
        </is>
      </c>
      <c r="G14" t="n">
        <v>2.4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34984-2024</t>
        </is>
      </c>
      <c r="B15" s="1" t="n">
        <v>45527</v>
      </c>
      <c r="C15" s="1" t="n">
        <v>46094</v>
      </c>
      <c r="D15" t="inlineStr">
        <is>
          <t>VÄSTMANLANDS LÄN</t>
        </is>
      </c>
      <c r="E15" t="inlineStr">
        <is>
          <t>HALLSTAHAMMAR</t>
        </is>
      </c>
      <c r="G15" t="n">
        <v>4.1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26702-2022</t>
        </is>
      </c>
      <c r="B16" s="1" t="n">
        <v>44739.74783564815</v>
      </c>
      <c r="C16" s="1" t="n">
        <v>46094</v>
      </c>
      <c r="D16" t="inlineStr">
        <is>
          <t>VÄSTMANLANDS LÄN</t>
        </is>
      </c>
      <c r="E16" t="inlineStr">
        <is>
          <t>HALLSTAHAMMAR</t>
        </is>
      </c>
      <c r="G16" t="n">
        <v>3.8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10263-2024</t>
        </is>
      </c>
      <c r="B17" s="1" t="n">
        <v>45365.43090277778</v>
      </c>
      <c r="C17" s="1" t="n">
        <v>46094</v>
      </c>
      <c r="D17" t="inlineStr">
        <is>
          <t>VÄSTMANLANDS LÄN</t>
        </is>
      </c>
      <c r="E17" t="inlineStr">
        <is>
          <t>HALLSTAHAMMAR</t>
        </is>
      </c>
      <c r="F17" t="inlineStr">
        <is>
          <t>Kyrkan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30743-2021</t>
        </is>
      </c>
      <c r="B18" s="1" t="n">
        <v>44365</v>
      </c>
      <c r="C18" s="1" t="n">
        <v>46094</v>
      </c>
      <c r="D18" t="inlineStr">
        <is>
          <t>VÄSTMANLANDS LÄN</t>
        </is>
      </c>
      <c r="E18" t="inlineStr">
        <is>
          <t>HALLSTAHAMMAR</t>
        </is>
      </c>
      <c r="G18" t="n">
        <v>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55562-2022</t>
        </is>
      </c>
      <c r="B19" s="1" t="n">
        <v>44888</v>
      </c>
      <c r="C19" s="1" t="n">
        <v>46094</v>
      </c>
      <c r="D19" t="inlineStr">
        <is>
          <t>VÄSTMANLANDS LÄN</t>
        </is>
      </c>
      <c r="E19" t="inlineStr">
        <is>
          <t>HALLSTAHAMMAR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16762-2022</t>
        </is>
      </c>
      <c r="B20" s="1" t="n">
        <v>44673.47876157407</v>
      </c>
      <c r="C20" s="1" t="n">
        <v>46094</v>
      </c>
      <c r="D20" t="inlineStr">
        <is>
          <t>VÄSTMANLANDS LÄN</t>
        </is>
      </c>
      <c r="E20" t="inlineStr">
        <is>
          <t>HALLSTAHAMMAR</t>
        </is>
      </c>
      <c r="G20" t="n">
        <v>4.2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22072-2023</t>
        </is>
      </c>
      <c r="B21" s="1" t="n">
        <v>45069</v>
      </c>
      <c r="C21" s="1" t="n">
        <v>46094</v>
      </c>
      <c r="D21" t="inlineStr">
        <is>
          <t>VÄSTMANLANDS LÄN</t>
        </is>
      </c>
      <c r="E21" t="inlineStr">
        <is>
          <t>HALLSTAHAMMAR</t>
        </is>
      </c>
      <c r="G21" t="n">
        <v>3.5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50230-2024</t>
        </is>
      </c>
      <c r="B22" s="1" t="n">
        <v>45600</v>
      </c>
      <c r="C22" s="1" t="n">
        <v>46094</v>
      </c>
      <c r="D22" t="inlineStr">
        <is>
          <t>VÄSTMANLANDS LÄN</t>
        </is>
      </c>
      <c r="E22" t="inlineStr">
        <is>
          <t>HALLSTAHAMMAR</t>
        </is>
      </c>
      <c r="G22" t="n">
        <v>1.7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27365-2025</t>
        </is>
      </c>
      <c r="B23" s="1" t="n">
        <v>45812.64355324074</v>
      </c>
      <c r="C23" s="1" t="n">
        <v>46094</v>
      </c>
      <c r="D23" t="inlineStr">
        <is>
          <t>VÄSTMANLANDS LÄN</t>
        </is>
      </c>
      <c r="E23" t="inlineStr">
        <is>
          <t>HALLSTAHAMMAR</t>
        </is>
      </c>
      <c r="G23" t="n">
        <v>11.9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30766-2022</t>
        </is>
      </c>
      <c r="B24" s="1" t="n">
        <v>44764</v>
      </c>
      <c r="C24" s="1" t="n">
        <v>46094</v>
      </c>
      <c r="D24" t="inlineStr">
        <is>
          <t>VÄSTMANLANDS LÄN</t>
        </is>
      </c>
      <c r="E24" t="inlineStr">
        <is>
          <t>HALLSTAHAMMAR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12077-2022</t>
        </is>
      </c>
      <c r="B25" s="1" t="n">
        <v>44636.47484953704</v>
      </c>
      <c r="C25" s="1" t="n">
        <v>46094</v>
      </c>
      <c r="D25" t="inlineStr">
        <is>
          <t>VÄSTMANLANDS LÄN</t>
        </is>
      </c>
      <c r="E25" t="inlineStr">
        <is>
          <t>HALLSTAHAMMAR</t>
        </is>
      </c>
      <c r="G25" t="n">
        <v>2.1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35036-2024</t>
        </is>
      </c>
      <c r="B26" s="1" t="n">
        <v>45527</v>
      </c>
      <c r="C26" s="1" t="n">
        <v>46094</v>
      </c>
      <c r="D26" t="inlineStr">
        <is>
          <t>VÄSTMANLANDS LÄN</t>
        </is>
      </c>
      <c r="E26" t="inlineStr">
        <is>
          <t>HALLSTAHAMMAR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37407-2023</t>
        </is>
      </c>
      <c r="B27" s="1" t="n">
        <v>45156.60152777778</v>
      </c>
      <c r="C27" s="1" t="n">
        <v>46094</v>
      </c>
      <c r="D27" t="inlineStr">
        <is>
          <t>VÄSTMANLANDS LÄN</t>
        </is>
      </c>
      <c r="E27" t="inlineStr">
        <is>
          <t>HALLSTAHAMMAR</t>
        </is>
      </c>
      <c r="G27" t="n">
        <v>3.3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30174-2021</t>
        </is>
      </c>
      <c r="B28" s="1" t="n">
        <v>44363</v>
      </c>
      <c r="C28" s="1" t="n">
        <v>46094</v>
      </c>
      <c r="D28" t="inlineStr">
        <is>
          <t>VÄSTMANLANDS LÄN</t>
        </is>
      </c>
      <c r="E28" t="inlineStr">
        <is>
          <t>HALLSTAHAMMAR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33799-2025</t>
        </is>
      </c>
      <c r="B29" s="1" t="n">
        <v>45842.44056712963</v>
      </c>
      <c r="C29" s="1" t="n">
        <v>46094</v>
      </c>
      <c r="D29" t="inlineStr">
        <is>
          <t>VÄSTMANLANDS LÄN</t>
        </is>
      </c>
      <c r="E29" t="inlineStr">
        <is>
          <t>HALLSTAHAMMAR</t>
        </is>
      </c>
      <c r="F29" t="inlineStr">
        <is>
          <t>Allmännings- och besparingsskogar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37072-2025</t>
        </is>
      </c>
      <c r="B30" s="1" t="n">
        <v>45875.40431712963</v>
      </c>
      <c r="C30" s="1" t="n">
        <v>46094</v>
      </c>
      <c r="D30" t="inlineStr">
        <is>
          <t>VÄSTMANLANDS LÄN</t>
        </is>
      </c>
      <c r="E30" t="inlineStr">
        <is>
          <t>HALLSTAHAMMAR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37076-2025</t>
        </is>
      </c>
      <c r="B31" s="1" t="n">
        <v>45875.41342592592</v>
      </c>
      <c r="C31" s="1" t="n">
        <v>46094</v>
      </c>
      <c r="D31" t="inlineStr">
        <is>
          <t>VÄSTMANLANDS LÄN</t>
        </is>
      </c>
      <c r="E31" t="inlineStr">
        <is>
          <t>HALLSTAHAMMAR</t>
        </is>
      </c>
      <c r="G31" t="n">
        <v>2.4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13510-2025</t>
        </is>
      </c>
      <c r="B32" s="1" t="n">
        <v>45736.47103009259</v>
      </c>
      <c r="C32" s="1" t="n">
        <v>46094</v>
      </c>
      <c r="D32" t="inlineStr">
        <is>
          <t>VÄSTMANLANDS LÄN</t>
        </is>
      </c>
      <c r="E32" t="inlineStr">
        <is>
          <t>HALLSTAHAMMAR</t>
        </is>
      </c>
      <c r="G32" t="n">
        <v>2.5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14149-2022</t>
        </is>
      </c>
      <c r="B33" s="1" t="n">
        <v>44651</v>
      </c>
      <c r="C33" s="1" t="n">
        <v>46094</v>
      </c>
      <c r="D33" t="inlineStr">
        <is>
          <t>VÄSTMANLANDS LÄN</t>
        </is>
      </c>
      <c r="E33" t="inlineStr">
        <is>
          <t>HALLSTAHAMMAR</t>
        </is>
      </c>
      <c r="F33" t="inlineStr">
        <is>
          <t>Allmännings- och besparingsskogar</t>
        </is>
      </c>
      <c r="G33" t="n">
        <v>3.8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41546-2025</t>
        </is>
      </c>
      <c r="B34" s="1" t="n">
        <v>45901.57927083333</v>
      </c>
      <c r="C34" s="1" t="n">
        <v>46094</v>
      </c>
      <c r="D34" t="inlineStr">
        <is>
          <t>VÄSTMANLANDS LÄN</t>
        </is>
      </c>
      <c r="E34" t="inlineStr">
        <is>
          <t>HALLSTAHAMMAR</t>
        </is>
      </c>
      <c r="F34" t="inlineStr">
        <is>
          <t>Allmännings- och besparingsskogar</t>
        </is>
      </c>
      <c r="G34" t="n">
        <v>4.3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41550-2025</t>
        </is>
      </c>
      <c r="B35" s="1" t="n">
        <v>45901.58652777778</v>
      </c>
      <c r="C35" s="1" t="n">
        <v>46094</v>
      </c>
      <c r="D35" t="inlineStr">
        <is>
          <t>VÄSTMANLANDS LÄN</t>
        </is>
      </c>
      <c r="E35" t="inlineStr">
        <is>
          <t>HALLSTAHAMMAR</t>
        </is>
      </c>
      <c r="F35" t="inlineStr">
        <is>
          <t>Allmännings- och besparingsskogar</t>
        </is>
      </c>
      <c r="G35" t="n">
        <v>2.3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53343-2024</t>
        </is>
      </c>
      <c r="B36" s="1" t="n">
        <v>45614.43885416666</v>
      </c>
      <c r="C36" s="1" t="n">
        <v>46094</v>
      </c>
      <c r="D36" t="inlineStr">
        <is>
          <t>VÄSTMANLANDS LÄN</t>
        </is>
      </c>
      <c r="E36" t="inlineStr">
        <is>
          <t>HALLSTAHAMMAR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8848-2025</t>
        </is>
      </c>
      <c r="B37" s="1" t="n">
        <v>45713.34292824074</v>
      </c>
      <c r="C37" s="1" t="n">
        <v>46094</v>
      </c>
      <c r="D37" t="inlineStr">
        <is>
          <t>VÄSTMANLANDS LÄN</t>
        </is>
      </c>
      <c r="E37" t="inlineStr">
        <is>
          <t>HALLSTAHAMMAR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62831-2023</t>
        </is>
      </c>
      <c r="B38" s="1" t="n">
        <v>45270</v>
      </c>
      <c r="C38" s="1" t="n">
        <v>46094</v>
      </c>
      <c r="D38" t="inlineStr">
        <is>
          <t>VÄSTMANLANDS LÄN</t>
        </is>
      </c>
      <c r="E38" t="inlineStr">
        <is>
          <t>HALLSTAHAMMAR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42991-2025</t>
        </is>
      </c>
      <c r="B39" s="1" t="n">
        <v>45909.45190972222</v>
      </c>
      <c r="C39" s="1" t="n">
        <v>46094</v>
      </c>
      <c r="D39" t="inlineStr">
        <is>
          <t>VÄSTMANLANDS LÄN</t>
        </is>
      </c>
      <c r="E39" t="inlineStr">
        <is>
          <t>HALLSTAHAMMAR</t>
        </is>
      </c>
      <c r="G39" t="n">
        <v>7.2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42994-2025</t>
        </is>
      </c>
      <c r="B40" s="1" t="n">
        <v>45909.45351851852</v>
      </c>
      <c r="C40" s="1" t="n">
        <v>46094</v>
      </c>
      <c r="D40" t="inlineStr">
        <is>
          <t>VÄSTMANLANDS LÄN</t>
        </is>
      </c>
      <c r="E40" t="inlineStr">
        <is>
          <t>HALLSTAHAMMAR</t>
        </is>
      </c>
      <c r="G40" t="n">
        <v>7.9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43448-2025</t>
        </is>
      </c>
      <c r="B41" s="1" t="n">
        <v>45911.45209490741</v>
      </c>
      <c r="C41" s="1" t="n">
        <v>46094</v>
      </c>
      <c r="D41" t="inlineStr">
        <is>
          <t>VÄSTMANLANDS LÄN</t>
        </is>
      </c>
      <c r="E41" t="inlineStr">
        <is>
          <t>HALLSTAHAMMAR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44192-2025</t>
        </is>
      </c>
      <c r="B42" s="1" t="n">
        <v>45915.61556712963</v>
      </c>
      <c r="C42" s="1" t="n">
        <v>46094</v>
      </c>
      <c r="D42" t="inlineStr">
        <is>
          <t>VÄSTMANLANDS LÄN</t>
        </is>
      </c>
      <c r="E42" t="inlineStr">
        <is>
          <t>HALLSTAHAMMAR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8436-2023</t>
        </is>
      </c>
      <c r="B43" s="1" t="n">
        <v>44977</v>
      </c>
      <c r="C43" s="1" t="n">
        <v>46094</v>
      </c>
      <c r="D43" t="inlineStr">
        <is>
          <t>VÄSTMANLANDS LÄN</t>
        </is>
      </c>
      <c r="E43" t="inlineStr">
        <is>
          <t>HALLSTAHAMMAR</t>
        </is>
      </c>
      <c r="F43" t="inlineStr">
        <is>
          <t>Kyrkan</t>
        </is>
      </c>
      <c r="G43" t="n">
        <v>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58109-2025</t>
        </is>
      </c>
      <c r="B44" s="1" t="n">
        <v>45982.59765046297</v>
      </c>
      <c r="C44" s="1" t="n">
        <v>46094</v>
      </c>
      <c r="D44" t="inlineStr">
        <is>
          <t>VÄSTMANLANDS LÄN</t>
        </is>
      </c>
      <c r="E44" t="inlineStr">
        <is>
          <t>HALLSTAHAMMAR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58111-2025</t>
        </is>
      </c>
      <c r="B45" s="1" t="n">
        <v>45982.59920138889</v>
      </c>
      <c r="C45" s="1" t="n">
        <v>46094</v>
      </c>
      <c r="D45" t="inlineStr">
        <is>
          <t>VÄSTMANLANDS LÄN</t>
        </is>
      </c>
      <c r="E45" t="inlineStr">
        <is>
          <t>HALLSTAHAMMAR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58125-2025</t>
        </is>
      </c>
      <c r="B46" s="1" t="n">
        <v>45982.61506944444</v>
      </c>
      <c r="C46" s="1" t="n">
        <v>46094</v>
      </c>
      <c r="D46" t="inlineStr">
        <is>
          <t>VÄSTMANLANDS LÄN</t>
        </is>
      </c>
      <c r="E46" t="inlineStr">
        <is>
          <t>HALLSTAHAMMAR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54207-2025</t>
        </is>
      </c>
      <c r="B47" s="1" t="n">
        <v>45964</v>
      </c>
      <c r="C47" s="1" t="n">
        <v>46094</v>
      </c>
      <c r="D47" t="inlineStr">
        <is>
          <t>VÄSTMANLANDS LÄN</t>
        </is>
      </c>
      <c r="E47" t="inlineStr">
        <is>
          <t>HALLSTAHAMMAR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54203-2025</t>
        </is>
      </c>
      <c r="B48" s="1" t="n">
        <v>45964</v>
      </c>
      <c r="C48" s="1" t="n">
        <v>46094</v>
      </c>
      <c r="D48" t="inlineStr">
        <is>
          <t>VÄSTMANLANDS LÄN</t>
        </is>
      </c>
      <c r="E48" t="inlineStr">
        <is>
          <t>HALLSTAHAMMAR</t>
        </is>
      </c>
      <c r="G48" t="n">
        <v>10.3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62433-2025</t>
        </is>
      </c>
      <c r="B49" s="1" t="n">
        <v>46007</v>
      </c>
      <c r="C49" s="1" t="n">
        <v>46094</v>
      </c>
      <c r="D49" t="inlineStr">
        <is>
          <t>VÄSTMANLANDS LÄN</t>
        </is>
      </c>
      <c r="E49" t="inlineStr">
        <is>
          <t>HALLSTAHAMMAR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1622-2026</t>
        </is>
      </c>
      <c r="B50" s="1" t="n">
        <v>46034.47929398148</v>
      </c>
      <c r="C50" s="1" t="n">
        <v>46094</v>
      </c>
      <c r="D50" t="inlineStr">
        <is>
          <t>VÄSTMANLANDS LÄN</t>
        </is>
      </c>
      <c r="E50" t="inlineStr">
        <is>
          <t>HALLSTAHAMMAR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1621-2026</t>
        </is>
      </c>
      <c r="B51" s="1" t="n">
        <v>46034.47645833333</v>
      </c>
      <c r="C51" s="1" t="n">
        <v>46094</v>
      </c>
      <c r="D51" t="inlineStr">
        <is>
          <t>VÄSTMANLANDS LÄN</t>
        </is>
      </c>
      <c r="E51" t="inlineStr">
        <is>
          <t>HALLSTAHAMMAR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>
      <c r="A52" t="inlineStr">
        <is>
          <t>A 10069-2026</t>
        </is>
      </c>
      <c r="B52" s="1" t="n">
        <v>46073.64043981482</v>
      </c>
      <c r="C52" s="1" t="n">
        <v>46094</v>
      </c>
      <c r="D52" t="inlineStr">
        <is>
          <t>VÄSTMANLANDS LÄN</t>
        </is>
      </c>
      <c r="E52" t="inlineStr">
        <is>
          <t>HALLSTAHAMMAR</t>
        </is>
      </c>
      <c r="F52" t="inlineStr">
        <is>
          <t>Allmännings- och besparingsskogar</t>
        </is>
      </c>
      <c r="G52" t="n">
        <v>13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2026-03-13T11:15:56Z</dcterms:created>
  <dcterms:modified xmlns:dcterms="http://purl.org/dc/terms/" xmlns:xsi="http://www.w3.org/2001/XMLSchema-instance" xsi:type="dcterms:W3CDTF">2026-03-13T11:15:56Z</dcterms:modified>
</cp:coreProperties>
</file>