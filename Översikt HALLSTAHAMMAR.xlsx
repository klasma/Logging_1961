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56759-2025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45978</v>
      </c>
      <c r="E2" s="1" t="n">
        <v>46281</v>
      </c>
      <c r="F2" t="inlineStr">
        <is>
          <t>VÄSTMANLANDS LÄN</t>
        </is>
      </c>
      <c r="G2" t="inlineStr">
        <is>
          <t>HALLSTAHAMMAR</t>
        </is>
      </c>
      <c r="H2" t="inlineStr">
        <is>
          <t>Allmännings- och besparingsskogar</t>
        </is>
      </c>
      <c r="I2" t="n">
        <v>9.6</v>
      </c>
      <c r="J2" t="n">
        <v>0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3</v>
      </c>
      <c r="T2" t="n">
        <v>6</v>
      </c>
      <c r="U2" t="n">
        <v>0</v>
      </c>
      <c r="V2" s="2" t="inlineStr">
        <is>
          <t>Dofttaggsvamp
Brandticka
Trådticka</t>
        </is>
      </c>
      <c r="W2">
        <f>HYPERLINK("https://klasma.github.io/Logging_1961/artfynd/A 56759-2025 artfynd.xlsx", "A 56759-2025")</f>
        <v/>
      </c>
      <c r="X2">
        <f>HYPERLINK("https://klasma.github.io/Logging_1961/kartor/A 56759-2025 karta.png", "A 56759-2025")</f>
        <v/>
      </c>
      <c r="Y2">
        <f>HYPERLINK("https://klasma.github.io/Logging_1961/kartor_geotiff/A 56759-2025 georefererad karta.tif", "A 56759-2025")</f>
        <v/>
      </c>
      <c r="AA2">
        <f>HYPERLINK("https://klasma.github.io/Logging_1961/klagomål/A 56759-2025 FSC-klagomål.docx", "A 56759-2025")</f>
        <v/>
      </c>
      <c r="AB2">
        <f>HYPERLINK("https://klasma.github.io/Logging_1961/klagomålsmail/A 56759-2025 FSC-klagomål mail.docx", "A 56759-2025")</f>
        <v/>
      </c>
      <c r="AC2">
        <f>HYPERLINK("https://klasma.github.io/Logging_1961/tillsyn/A 56759-2025 tillsynsbegäran.docx", "A 56759-2025")</f>
        <v/>
      </c>
      <c r="AD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44635</v>
      </c>
      <c r="E3" s="1" t="n">
        <v>46281</v>
      </c>
      <c r="F3" t="inlineStr">
        <is>
          <t>VÄSTMANLANDS LÄN</t>
        </is>
      </c>
      <c r="G3" t="inlineStr">
        <is>
          <t>HALLSTAHAMMAR</t>
        </is>
      </c>
      <c r="H3" t="inlineStr">
        <is>
          <t>Kommuner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55348-2022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44887</v>
      </c>
      <c r="E4" s="1" t="n">
        <v>46281</v>
      </c>
      <c r="F4" t="inlineStr">
        <is>
          <t>VÄSTMANLANDS LÄN</t>
        </is>
      </c>
      <c r="G4" t="inlineStr">
        <is>
          <t>HALLSTAHAMMAR</t>
        </is>
      </c>
      <c r="I4" t="n">
        <v>0.5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68619-2021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44502</v>
      </c>
      <c r="E5" s="1" t="n">
        <v>46281</v>
      </c>
      <c r="F5" t="inlineStr">
        <is>
          <t>VÄSTMANLANDS LÄN</t>
        </is>
      </c>
      <c r="G5" t="inlineStr">
        <is>
          <t>HALLSTAHAMMAR</t>
        </is>
      </c>
      <c r="I5" t="n">
        <v>13.5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68624-2021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44502</v>
      </c>
      <c r="E6" s="1" t="n">
        <v>46281</v>
      </c>
      <c r="F6" t="inlineStr">
        <is>
          <t>VÄSTMANLANDS LÄN</t>
        </is>
      </c>
      <c r="G6" t="inlineStr">
        <is>
          <t>HALLSTAHAMMAR</t>
        </is>
      </c>
      <c r="I6" t="n">
        <v>5.5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26702-2022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44739</v>
      </c>
      <c r="E7" s="1" t="n">
        <v>46281</v>
      </c>
      <c r="F7" t="inlineStr">
        <is>
          <t>VÄSTMANLANDS LÄN</t>
        </is>
      </c>
      <c r="G7" t="inlineStr">
        <is>
          <t>HALLSTAHAMMAR</t>
        </is>
      </c>
      <c r="I7" t="n">
        <v>3.8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7245-2025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45702</v>
      </c>
      <c r="E8" s="1" t="n">
        <v>46281</v>
      </c>
      <c r="F8" t="inlineStr">
        <is>
          <t>VÄSTMANLANDS LÄN</t>
        </is>
      </c>
      <c r="G8" t="inlineStr">
        <is>
          <t>HALLSTAHAMMAR</t>
        </is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10263-2024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45365</v>
      </c>
      <c r="E9" s="1" t="n">
        <v>46281</v>
      </c>
      <c r="F9" t="inlineStr">
        <is>
          <t>VÄSTMANLANDS LÄN</t>
        </is>
      </c>
      <c r="G9" t="inlineStr">
        <is>
          <t>HALLSTAHAMMAR</t>
        </is>
      </c>
      <c r="H9" t="inlineStr">
        <is>
          <t>Kyrkan</t>
        </is>
      </c>
      <c r="I9" t="n">
        <v>1.4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68621-2021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44502</v>
      </c>
      <c r="E10" s="1" t="n">
        <v>46281</v>
      </c>
      <c r="F10" t="inlineStr">
        <is>
          <t>VÄSTMANLANDS LÄN</t>
        </is>
      </c>
      <c r="G10" t="inlineStr">
        <is>
          <t>HALLSTAHAMMAR</t>
        </is>
      </c>
      <c r="I10" t="n">
        <v>3.8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37072-2025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45875</v>
      </c>
      <c r="E11" s="1" t="n">
        <v>46281</v>
      </c>
      <c r="F11" t="inlineStr">
        <is>
          <t>VÄSTMANLANDS LÄN</t>
        </is>
      </c>
      <c r="G11" t="inlineStr">
        <is>
          <t>HALLSTAHAMMAR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37076-2025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45875</v>
      </c>
      <c r="E12" s="1" t="n">
        <v>46281</v>
      </c>
      <c r="F12" t="inlineStr">
        <is>
          <t>VÄSTMANLANDS LÄN</t>
        </is>
      </c>
      <c r="G12" t="inlineStr">
        <is>
          <t>HALLSTAHAMMAR</t>
        </is>
      </c>
      <c r="I12" t="n">
        <v>2.4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13510-2025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45736</v>
      </c>
      <c r="E13" s="1" t="n">
        <v>46281</v>
      </c>
      <c r="F13" t="inlineStr">
        <is>
          <t>VÄSTMANLANDS LÄN</t>
        </is>
      </c>
      <c r="G13" t="inlineStr">
        <is>
          <t>HALLSTAHAMMAR</t>
        </is>
      </c>
      <c r="I13" t="n">
        <v>2.5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45527</v>
      </c>
      <c r="E14" s="1" t="n">
        <v>46281</v>
      </c>
      <c r="F14" t="inlineStr">
        <is>
          <t>VÄSTMANLANDS LÄN</t>
        </is>
      </c>
      <c r="G14" t="inlineStr">
        <is>
          <t>HALLSTAHAMMAR</t>
        </is>
      </c>
      <c r="I14" t="n">
        <v>4.1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10069-2026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46073</v>
      </c>
      <c r="E15" s="1" t="n">
        <v>46281</v>
      </c>
      <c r="F15" t="inlineStr">
        <is>
          <t>VÄSTMANLANDS LÄN</t>
        </is>
      </c>
      <c r="G15" t="inlineStr">
        <is>
          <t>HALLSTAHAMMAR</t>
        </is>
      </c>
      <c r="H15" t="inlineStr">
        <is>
          <t>Allmännings- och besparingsskogar</t>
        </is>
      </c>
      <c r="I15" t="n">
        <v>13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22072-2023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45069</v>
      </c>
      <c r="E16" s="1" t="n">
        <v>46281</v>
      </c>
      <c r="F16" t="inlineStr">
        <is>
          <t>VÄSTMANLANDS LÄN</t>
        </is>
      </c>
      <c r="G16" t="inlineStr">
        <is>
          <t>HALLSTAHAMMAR</t>
        </is>
      </c>
      <c r="I16" t="n">
        <v>3.5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42991-2025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45909</v>
      </c>
      <c r="E17" s="1" t="n">
        <v>46281</v>
      </c>
      <c r="F17" t="inlineStr">
        <is>
          <t>VÄSTMANLANDS LÄN</t>
        </is>
      </c>
      <c r="G17" t="inlineStr">
        <is>
          <t>HALLSTAHAMMAR</t>
        </is>
      </c>
      <c r="I17" t="n">
        <v>7.2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15224-2026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46105</v>
      </c>
      <c r="E18" s="1" t="n">
        <v>46281</v>
      </c>
      <c r="F18" t="inlineStr">
        <is>
          <t>VÄSTMANLANDS LÄN</t>
        </is>
      </c>
      <c r="G18" t="inlineStr">
        <is>
          <t>HALLSTAHAMMAR</t>
        </is>
      </c>
      <c r="H18" t="inlineStr">
        <is>
          <t>Allmännings- och besparingsskogar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15230-2026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46105</v>
      </c>
      <c r="E19" s="1" t="n">
        <v>46281</v>
      </c>
      <c r="F19" t="inlineStr">
        <is>
          <t>VÄSTMANLANDS LÄN</t>
        </is>
      </c>
      <c r="G19" t="inlineStr">
        <is>
          <t>HALLSTAHAMMAR</t>
        </is>
      </c>
      <c r="H19" t="inlineStr">
        <is>
          <t>Allmännings- och besparingsskogar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43448-2025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45911</v>
      </c>
      <c r="E20" s="1" t="n">
        <v>46281</v>
      </c>
      <c r="F20" t="inlineStr">
        <is>
          <t>VÄSTMANLANDS LÄN</t>
        </is>
      </c>
      <c r="G20" t="inlineStr">
        <is>
          <t>HALLSTAHAMMAR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44192-2025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45915</v>
      </c>
      <c r="E21" s="1" t="n">
        <v>46281</v>
      </c>
      <c r="F21" t="inlineStr">
        <is>
          <t>VÄSTMANLANDS LÄN</t>
        </is>
      </c>
      <c r="G21" t="inlineStr">
        <is>
          <t>HALLSTAHAMMAR</t>
        </is>
      </c>
      <c r="I21" t="n">
        <v>0.8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55562-2022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44888</v>
      </c>
      <c r="E22" s="1" t="n">
        <v>46281</v>
      </c>
      <c r="F22" t="inlineStr">
        <is>
          <t>VÄSTMANLANDS LÄN</t>
        </is>
      </c>
      <c r="G22" t="inlineStr">
        <is>
          <t>HALLSTAHAMMAR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16762-2022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44673</v>
      </c>
      <c r="E23" s="1" t="n">
        <v>46281</v>
      </c>
      <c r="F23" t="inlineStr">
        <is>
          <t>VÄSTMANLANDS LÄN</t>
        </is>
      </c>
      <c r="G23" t="inlineStr">
        <is>
          <t>HALLSTAHAMMAR</t>
        </is>
      </c>
      <c r="I23" t="n">
        <v>4.2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8436-2023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44977</v>
      </c>
      <c r="E24" s="1" t="n">
        <v>46281</v>
      </c>
      <c r="F24" t="inlineStr">
        <is>
          <t>VÄSTMANLANDS LÄN</t>
        </is>
      </c>
      <c r="G24" t="inlineStr">
        <is>
          <t>HALLSTAHAMMAR</t>
        </is>
      </c>
      <c r="H24" t="inlineStr">
        <is>
          <t>Kyrkan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58125-2025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45982</v>
      </c>
      <c r="E25" s="1" t="n">
        <v>46281</v>
      </c>
      <c r="F25" t="inlineStr">
        <is>
          <t>VÄSTMANLANDS LÄN</t>
        </is>
      </c>
      <c r="G25" t="inlineStr">
        <is>
          <t>HALLSTAHAMMAR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58109-2025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45982</v>
      </c>
      <c r="E26" s="1" t="n">
        <v>46281</v>
      </c>
      <c r="F26" t="inlineStr">
        <is>
          <t>VÄSTMANLANDS LÄN</t>
        </is>
      </c>
      <c r="G26" t="inlineStr">
        <is>
          <t>HALLSTAHAMMAR</t>
        </is>
      </c>
      <c r="I26" t="n">
        <v>2.5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58111-2025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45982</v>
      </c>
      <c r="E27" s="1" t="n">
        <v>46281</v>
      </c>
      <c r="F27" t="inlineStr">
        <is>
          <t>VÄSTMANLANDS LÄN</t>
        </is>
      </c>
      <c r="G27" t="inlineStr">
        <is>
          <t>HALLSTAHAMMAR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21049-2026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46146</v>
      </c>
      <c r="E28" s="1" t="n">
        <v>46281</v>
      </c>
      <c r="F28" t="inlineStr">
        <is>
          <t>VÄSTMANLANDS LÄN</t>
        </is>
      </c>
      <c r="G28" t="inlineStr">
        <is>
          <t>HALLSTAHAMMAR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54207-2025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45964</v>
      </c>
      <c r="E29" s="1" t="n">
        <v>46281</v>
      </c>
      <c r="F29" t="inlineStr">
        <is>
          <t>VÄSTMANLANDS LÄN</t>
        </is>
      </c>
      <c r="G29" t="inlineStr">
        <is>
          <t>HALLSTAHAMMAR</t>
        </is>
      </c>
      <c r="I29" t="n">
        <v>2.1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1621-2026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46034</v>
      </c>
      <c r="E30" s="1" t="n">
        <v>46281</v>
      </c>
      <c r="F30" t="inlineStr">
        <is>
          <t>VÄSTMANLANDS LÄN</t>
        </is>
      </c>
      <c r="G30" t="inlineStr">
        <is>
          <t>HALLSTAHAMMAR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1622-2026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46034</v>
      </c>
      <c r="E31" s="1" t="n">
        <v>46281</v>
      </c>
      <c r="F31" t="inlineStr">
        <is>
          <t>VÄSTMANLANDS LÄN</t>
        </is>
      </c>
      <c r="G31" t="inlineStr">
        <is>
          <t>HALLSTAHAMMAR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21972-2023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45068</v>
      </c>
      <c r="E32" s="1" t="n">
        <v>46281</v>
      </c>
      <c r="F32" t="inlineStr">
        <is>
          <t>VÄSTMANLANDS LÄN</t>
        </is>
      </c>
      <c r="G32" t="inlineStr">
        <is>
          <t>HALLSTAHAMMAR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35036-2024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45527</v>
      </c>
      <c r="E33" s="1" t="n">
        <v>46281</v>
      </c>
      <c r="F33" t="inlineStr">
        <is>
          <t>VÄSTMANLANDS LÄN</t>
        </is>
      </c>
      <c r="G33" t="inlineStr">
        <is>
          <t>HALLSTAHAMMAR</t>
        </is>
      </c>
      <c r="I33" t="n">
        <v>1.7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62831-2023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45270</v>
      </c>
      <c r="E34" s="1" t="n">
        <v>46281</v>
      </c>
      <c r="F34" t="inlineStr">
        <is>
          <t>VÄSTMANLANDS LÄN</t>
        </is>
      </c>
      <c r="G34" t="inlineStr">
        <is>
          <t>HALLSTAHAMMAR</t>
        </is>
      </c>
      <c r="I34" t="n">
        <v>1.1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21264-2022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44705</v>
      </c>
      <c r="E35" s="1" t="n">
        <v>46281</v>
      </c>
      <c r="F35" t="inlineStr">
        <is>
          <t>VÄSTMANLANDS LÄN</t>
        </is>
      </c>
      <c r="G35" t="inlineStr">
        <is>
          <t>HALLSTAHAMMAR</t>
        </is>
      </c>
      <c r="H35" t="inlineStr">
        <is>
          <t>Allmännings- och besparingsskogar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12077-2022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44636</v>
      </c>
      <c r="E36" s="1" t="n">
        <v>46281</v>
      </c>
      <c r="F36" t="inlineStr">
        <is>
          <t>VÄSTMANLANDS LÄN</t>
        </is>
      </c>
      <c r="G36" t="inlineStr">
        <is>
          <t>HALLSTAHAMMAR</t>
        </is>
      </c>
      <c r="I36" t="n">
        <v>2.1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37407-2023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45156</v>
      </c>
      <c r="E37" s="1" t="n">
        <v>46281</v>
      </c>
      <c r="F37" t="inlineStr">
        <is>
          <t>VÄSTMANLANDS LÄN</t>
        </is>
      </c>
      <c r="G37" t="inlineStr">
        <is>
          <t>HALLSTAHAMMAR</t>
        </is>
      </c>
      <c r="I37" t="n">
        <v>3.3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8848-2025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45713</v>
      </c>
      <c r="E38" s="1" t="n">
        <v>46281</v>
      </c>
      <c r="F38" t="inlineStr">
        <is>
          <t>VÄSTMANLANDS LÄN</t>
        </is>
      </c>
      <c r="G38" t="inlineStr">
        <is>
          <t>HALLSTAHAMMAR</t>
        </is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26059-2026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46181</v>
      </c>
      <c r="E39" s="1" t="n">
        <v>46281</v>
      </c>
      <c r="F39" t="inlineStr">
        <is>
          <t>VÄSTMANLANDS LÄN</t>
        </is>
      </c>
      <c r="G39" t="inlineStr">
        <is>
          <t>HALLSTAHAMMAR</t>
        </is>
      </c>
      <c r="I39" t="n">
        <v>4.7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26060-2026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46181</v>
      </c>
      <c r="E40" s="1" t="n">
        <v>46281</v>
      </c>
      <c r="F40" t="inlineStr">
        <is>
          <t>VÄSTMANLANDS LÄN</t>
        </is>
      </c>
      <c r="G40" t="inlineStr">
        <is>
          <t>HALLSTAHAMMAR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30766-2022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44764</v>
      </c>
      <c r="E41" s="1" t="n">
        <v>46281</v>
      </c>
      <c r="F41" t="inlineStr">
        <is>
          <t>VÄSTMANLANDS LÄN</t>
        </is>
      </c>
      <c r="G41" t="inlineStr">
        <is>
          <t>HALLSTAHAMMAR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14149-2022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44651</v>
      </c>
      <c r="E42" s="1" t="n">
        <v>46281</v>
      </c>
      <c r="F42" t="inlineStr">
        <is>
          <t>VÄSTMANLANDS LÄN</t>
        </is>
      </c>
      <c r="G42" t="inlineStr">
        <is>
          <t>HALLSTAHAMMAR</t>
        </is>
      </c>
      <c r="H42" t="inlineStr">
        <is>
          <t>Allmännings- och besparingsskogar</t>
        </is>
      </c>
      <c r="I42" t="n">
        <v>3.8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35238-2026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46260</v>
      </c>
      <c r="E43" s="1" t="n">
        <v>46281</v>
      </c>
      <c r="F43" t="inlineStr">
        <is>
          <t>VÄSTMANLANDS LÄN</t>
        </is>
      </c>
      <c r="G43" t="inlineStr">
        <is>
          <t>HALLSTAHAMMAR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37109-2026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46274</v>
      </c>
      <c r="E44" s="1" t="n">
        <v>46281</v>
      </c>
      <c r="F44" t="inlineStr">
        <is>
          <t>VÄSTMANLANDS LÄN</t>
        </is>
      </c>
      <c r="G44" t="inlineStr">
        <is>
          <t>HALLSTAHAMMAR</t>
        </is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53343-2024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45614</v>
      </c>
      <c r="E45" s="1" t="n">
        <v>46281</v>
      </c>
      <c r="F45" t="inlineStr">
        <is>
          <t>VÄSTMANLANDS LÄN</t>
        </is>
      </c>
      <c r="G45" t="inlineStr">
        <is>
          <t>HALLSTAHAMMAR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S 697-2026</t>
        </is>
      </c>
      <c r="B46" t="inlineStr">
        <is>
          <t>samrådsanmälan</t>
        </is>
      </c>
      <c r="C46" t="inlineStr">
        <is>
          <t>Skogsgödsling</t>
        </is>
      </c>
      <c r="D46" s="1" t="n">
        <v>46091</v>
      </c>
      <c r="E46" s="1" t="n">
        <v>46281</v>
      </c>
      <c r="F46" t="inlineStr">
        <is>
          <t>VÄSTMANLANDS LÄN</t>
        </is>
      </c>
      <c r="G46" t="inlineStr">
        <is>
          <t>HALLSTAHAMMAR</t>
        </is>
      </c>
      <c r="I46" t="n">
        <v>32.5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S 924-2026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46111</v>
      </c>
      <c r="E47" s="1" t="n">
        <v>46281</v>
      </c>
      <c r="F47" t="inlineStr">
        <is>
          <t>VÄSTMANLANDS LÄN</t>
        </is>
      </c>
      <c r="G47" t="inlineStr">
        <is>
          <t>HALLSTAHAMMAR</t>
        </is>
      </c>
      <c r="H47" t="inlineStr">
        <is>
          <t>Allmännings- och besparingsskogar</t>
        </is>
      </c>
      <c r="I47" t="n">
        <v>48.8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2026-09-16T02:01:26Z</dcterms:created>
  <dcterms:modified xmlns:dcterms="http://purl.org/dc/terms/" xmlns:xsi="http://www.w3.org/2001/XMLSchema-instance" xsi:type="dcterms:W3CDTF">2026-09-16T02:01:27Z</dcterms:modified>
</cp:coreProperties>
</file>