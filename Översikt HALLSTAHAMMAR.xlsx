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46217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s="2" t="inlineStr">
        <is>
          <t>Dofttaggsvamp
Brandticka
Trådticka</t>
        </is>
      </c>
      <c r="V2">
        <f>HYPERLINK("https://klasma.github.io/Logging_1961/artfynd/A 56759-2025 artfynd.xlsx", "A 56759-2025")</f>
        <v/>
      </c>
      <c r="W2">
        <f>HYPERLINK("https://klasma.github.io/Logging_1961/kartor/A 56759-2025 karta.png", "A 56759-2025")</f>
        <v/>
      </c>
      <c r="Y2">
        <f>HYPERLINK("https://klasma.github.io/Logging_1961/klagomål/A 56759-2025 FSC-klagomål.docx", "A 56759-2025")</f>
        <v/>
      </c>
      <c r="Z2">
        <f>HYPERLINK("https://klasma.github.io/Logging_1961/klagomålsmail/A 56759-2025 FSC-klagomål mail.docx", "A 56759-2025")</f>
        <v/>
      </c>
      <c r="AA2">
        <f>HYPERLINK("https://klasma.github.io/Logging_1961/tillsyn/A 56759-2025 tillsynsbegäran.docx", "A 56759-2025")</f>
        <v/>
      </c>
      <c r="AB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46217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46217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46217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46217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46217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46217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46217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10263-2024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45365</v>
      </c>
      <c r="E10" s="1" t="n">
        <v>46217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Kyrkan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34984-2024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46217</v>
      </c>
      <c r="F11" t="inlineStr">
        <is>
          <t>VÄSTMANLANDS LÄN</t>
        </is>
      </c>
      <c r="G11" t="inlineStr">
        <is>
          <t>HALLSTAHAMMAR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22072-2023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45069</v>
      </c>
      <c r="E12" s="1" t="n">
        <v>46217</v>
      </c>
      <c r="F12" t="inlineStr">
        <is>
          <t>VÄSTMANLANDS LÄN</t>
        </is>
      </c>
      <c r="G12" t="inlineStr">
        <is>
          <t>HALLSTAHAMMAR</t>
        </is>
      </c>
      <c r="I12" t="n">
        <v>3.5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46217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16762-2022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44673</v>
      </c>
      <c r="E14" s="1" t="n">
        <v>46217</v>
      </c>
      <c r="F14" t="inlineStr">
        <is>
          <t>VÄSTMANLANDS LÄN</t>
        </is>
      </c>
      <c r="G14" t="inlineStr">
        <is>
          <t>HALLSTAHAMMAR</t>
        </is>
      </c>
      <c r="I14" t="n">
        <v>4.2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37072-2025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45875</v>
      </c>
      <c r="E15" s="1" t="n">
        <v>46217</v>
      </c>
      <c r="F15" t="inlineStr">
        <is>
          <t>VÄSTMANLANDS LÄN</t>
        </is>
      </c>
      <c r="G15" t="inlineStr">
        <is>
          <t>HALLSTAHAMMAR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37076-2025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46217</v>
      </c>
      <c r="F16" t="inlineStr">
        <is>
          <t>VÄSTMANLANDS LÄN</t>
        </is>
      </c>
      <c r="G16" t="inlineStr">
        <is>
          <t>HALLSTAHAMMAR</t>
        </is>
      </c>
      <c r="I16" t="n">
        <v>2.4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13510-2025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45736</v>
      </c>
      <c r="E17" s="1" t="n">
        <v>46217</v>
      </c>
      <c r="F17" t="inlineStr">
        <is>
          <t>VÄSTMANLANDS LÄN</t>
        </is>
      </c>
      <c r="G17" t="inlineStr">
        <is>
          <t>HALLSTAHAMMAR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42991-2025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45909</v>
      </c>
      <c r="E18" s="1" t="n">
        <v>46217</v>
      </c>
      <c r="F18" t="inlineStr">
        <is>
          <t>VÄSTMANLANDS LÄN</t>
        </is>
      </c>
      <c r="G18" t="inlineStr">
        <is>
          <t>HALLSTAHAMMAR</t>
        </is>
      </c>
      <c r="I18" t="n">
        <v>7.2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43448-2025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45911</v>
      </c>
      <c r="E19" s="1" t="n">
        <v>46217</v>
      </c>
      <c r="F19" t="inlineStr">
        <is>
          <t>VÄSTMANLANDS LÄN</t>
        </is>
      </c>
      <c r="G19" t="inlineStr">
        <is>
          <t>HALLSTAHAMMAR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44192-2025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46217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26059-2026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46181</v>
      </c>
      <c r="E21" s="1" t="n">
        <v>46217</v>
      </c>
      <c r="F21" t="inlineStr">
        <is>
          <t>VÄSTMANLANDS LÄN</t>
        </is>
      </c>
      <c r="G21" t="inlineStr">
        <is>
          <t>HALLSTAHAMMAR</t>
        </is>
      </c>
      <c r="I21" t="n">
        <v>4.7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26060-2026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46181</v>
      </c>
      <c r="E22" s="1" t="n">
        <v>46217</v>
      </c>
      <c r="F22" t="inlineStr">
        <is>
          <t>VÄSTMANLANDS LÄN</t>
        </is>
      </c>
      <c r="G22" t="inlineStr">
        <is>
          <t>HALLSTAHAMMAR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21972-2023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45068</v>
      </c>
      <c r="E23" s="1" t="n">
        <v>46217</v>
      </c>
      <c r="F23" t="inlineStr">
        <is>
          <t>VÄSTMANLANDS LÄN</t>
        </is>
      </c>
      <c r="G23" t="inlineStr">
        <is>
          <t>HALLSTAHAMMAR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58125-2025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46217</v>
      </c>
      <c r="F24" t="inlineStr">
        <is>
          <t>VÄSTMANLANDS LÄN</t>
        </is>
      </c>
      <c r="G24" t="inlineStr">
        <is>
          <t>HALLSTAHAMMAR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58109-2025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46217</v>
      </c>
      <c r="F25" t="inlineStr">
        <is>
          <t>VÄSTMANLANDS LÄN</t>
        </is>
      </c>
      <c r="G25" t="inlineStr">
        <is>
          <t>HALLSTAHAMMAR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58111-2025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46217</v>
      </c>
      <c r="F26" t="inlineStr">
        <is>
          <t>VÄSTMANLANDS LÄN</t>
        </is>
      </c>
      <c r="G26" t="inlineStr">
        <is>
          <t>HALLSTAHAMMAR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21049-2026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46146</v>
      </c>
      <c r="E27" s="1" t="n">
        <v>46217</v>
      </c>
      <c r="F27" t="inlineStr">
        <is>
          <t>VÄSTMANLANDS LÄN</t>
        </is>
      </c>
      <c r="G27" t="inlineStr">
        <is>
          <t>HALLSTAHAMMAR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35036-2024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46217</v>
      </c>
      <c r="F28" t="inlineStr">
        <is>
          <t>VÄSTMANLANDS LÄN</t>
        </is>
      </c>
      <c r="G28" t="inlineStr">
        <is>
          <t>HALLSTAHAMMAR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62831-2023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45270</v>
      </c>
      <c r="E29" s="1" t="n">
        <v>46217</v>
      </c>
      <c r="F29" t="inlineStr">
        <is>
          <t>VÄSTMANLANDS LÄN</t>
        </is>
      </c>
      <c r="G29" t="inlineStr">
        <is>
          <t>HALLSTAHAMMAR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8848-2025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46217</v>
      </c>
      <c r="F30" t="inlineStr">
        <is>
          <t>VÄSTMANLANDS LÄN</t>
        </is>
      </c>
      <c r="G30" t="inlineStr">
        <is>
          <t>HALLSTAHAMMAR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1621-2026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46217</v>
      </c>
      <c r="F31" t="inlineStr">
        <is>
          <t>VÄSTMANLANDS LÄN</t>
        </is>
      </c>
      <c r="G31" t="inlineStr">
        <is>
          <t>HALLSTAHAMMAR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1622-2026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46217</v>
      </c>
      <c r="F32" t="inlineStr">
        <is>
          <t>VÄSTMANLANDS LÄN</t>
        </is>
      </c>
      <c r="G32" t="inlineStr">
        <is>
          <t>HALLSTAHAMMAR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30766-2022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46217</v>
      </c>
      <c r="F33" t="inlineStr">
        <is>
          <t>VÄSTMANLANDS LÄN</t>
        </is>
      </c>
      <c r="G33" t="inlineStr">
        <is>
          <t>HALLSTAHAMMAR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54207-2025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46217</v>
      </c>
      <c r="F34" t="inlineStr">
        <is>
          <t>VÄSTMANLANDS LÄN</t>
        </is>
      </c>
      <c r="G34" t="inlineStr">
        <is>
          <t>HALLSTAHAMMAR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10069-2026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46073</v>
      </c>
      <c r="E35" s="1" t="n">
        <v>46217</v>
      </c>
      <c r="F35" t="inlineStr">
        <is>
          <t>VÄSTMANLANDS LÄN</t>
        </is>
      </c>
      <c r="G35" t="inlineStr">
        <is>
          <t>HALLSTAHAMMAR</t>
        </is>
      </c>
      <c r="H35" t="inlineStr">
        <is>
          <t>Allmännings- och besparingsskogar</t>
        </is>
      </c>
      <c r="I35" t="n">
        <v>13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7245-2025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45702</v>
      </c>
      <c r="E36" s="1" t="n">
        <v>46217</v>
      </c>
      <c r="F36" t="inlineStr">
        <is>
          <t>VÄSTMANLANDS LÄN</t>
        </is>
      </c>
      <c r="G36" t="inlineStr">
        <is>
          <t>HALLSTAHAMMAR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15224-2026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46105</v>
      </c>
      <c r="E37" s="1" t="n">
        <v>46217</v>
      </c>
      <c r="F37" t="inlineStr">
        <is>
          <t>VÄSTMANLANDS LÄN</t>
        </is>
      </c>
      <c r="G37" t="inlineStr">
        <is>
          <t>HALLSTAHAMMAR</t>
        </is>
      </c>
      <c r="H37" t="inlineStr">
        <is>
          <t>Allmännings- och besparingsskogar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15230-2026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46105</v>
      </c>
      <c r="E38" s="1" t="n">
        <v>46217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8436-2023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46217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Kyrkan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21264-2022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44705</v>
      </c>
      <c r="E40" s="1" t="n">
        <v>46217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12077-2022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44636</v>
      </c>
      <c r="E41" s="1" t="n">
        <v>46217</v>
      </c>
      <c r="F41" t="inlineStr">
        <is>
          <t>VÄSTMANLANDS LÄN</t>
        </is>
      </c>
      <c r="G41" t="inlineStr">
        <is>
          <t>HALLSTAHAMMAR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37407-2023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45156</v>
      </c>
      <c r="E42" s="1" t="n">
        <v>46217</v>
      </c>
      <c r="F42" t="inlineStr">
        <is>
          <t>VÄSTMANLANDS LÄN</t>
        </is>
      </c>
      <c r="G42" t="inlineStr">
        <is>
          <t>HALLSTAHAMMAR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14149-2022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44651</v>
      </c>
      <c r="E43" s="1" t="n">
        <v>46217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53343-2024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45614</v>
      </c>
      <c r="E44" s="1" t="n">
        <v>46217</v>
      </c>
      <c r="F44" t="inlineStr">
        <is>
          <t>VÄSTMANLANDS LÄN</t>
        </is>
      </c>
      <c r="G44" t="inlineStr">
        <is>
          <t>HALLSTAHAMMAR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33799-2025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45842</v>
      </c>
      <c r="E45" s="1" t="n">
        <v>46217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46217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46217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2026-07-14T09:00:25Z</dcterms:created>
  <dcterms:modified xmlns:dcterms="http://purl.org/dc/terms/" xmlns:xsi="http://www.w3.org/2001/XMLSchema-instance" xsi:type="dcterms:W3CDTF">2026-07-14T09:00:25Z</dcterms:modified>
</cp:coreProperties>
</file>